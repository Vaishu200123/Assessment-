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6f57473d6de5f83/Desktop/Mock/"/>
    </mc:Choice>
  </mc:AlternateContent>
  <xr:revisionPtr revIDLastSave="0" documentId="8_{C95EC801-5FCF-462E-8F78-D70478C9155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les_Data" sheetId="1" r:id="rId1"/>
    <sheet name="Product_Master" sheetId="2" r:id="rId2"/>
    <sheet name="Product" sheetId="4" r:id="rId3"/>
    <sheet name="Monthly Target" sheetId="3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2" i="1"/>
  <c r="H2" i="1"/>
  <c r="I11" i="1"/>
  <c r="I10" i="1"/>
  <c r="I9" i="1"/>
  <c r="I8" i="1"/>
  <c r="I7" i="1"/>
  <c r="I4" i="1"/>
  <c r="I6" i="1"/>
  <c r="I2" i="1"/>
  <c r="I5" i="1"/>
  <c r="I3" i="1"/>
  <c r="H3" i="1"/>
  <c r="H4" i="1"/>
  <c r="H5" i="1"/>
  <c r="H6" i="1"/>
  <c r="H7" i="1"/>
  <c r="H8" i="1"/>
  <c r="H9" i="1"/>
  <c r="H10" i="1"/>
  <c r="H11" i="1"/>
  <c r="B3" i="4"/>
  <c r="B4" i="4"/>
  <c r="B5" i="4"/>
  <c r="B6" i="4"/>
  <c r="B2" i="4"/>
  <c r="A6" i="4"/>
  <c r="A3" i="4"/>
  <c r="A4" i="4"/>
  <c r="A5" i="4"/>
  <c r="A2" i="4"/>
  <c r="K12" i="1" l="1"/>
  <c r="H12" i="1"/>
</calcChain>
</file>

<file path=xl/sharedStrings.xml><?xml version="1.0" encoding="utf-8"?>
<sst xmlns="http://schemas.openxmlformats.org/spreadsheetml/2006/main" count="81" uniqueCount="52">
  <si>
    <t>Employee ID</t>
  </si>
  <si>
    <t>Employee Name</t>
  </si>
  <si>
    <t>Region</t>
  </si>
  <si>
    <t>Product ID</t>
  </si>
  <si>
    <t>Units Sold</t>
  </si>
  <si>
    <t>Sales Amount</t>
  </si>
  <si>
    <t>E101</t>
  </si>
  <si>
    <t>Rahul Mehta</t>
  </si>
  <si>
    <t>North</t>
  </si>
  <si>
    <t>P001</t>
  </si>
  <si>
    <t>E102</t>
  </si>
  <si>
    <t>Priya Sharma</t>
  </si>
  <si>
    <t>South</t>
  </si>
  <si>
    <t>P002</t>
  </si>
  <si>
    <t>E103</t>
  </si>
  <si>
    <t>Aman Verma</t>
  </si>
  <si>
    <t>East</t>
  </si>
  <si>
    <t>P003</t>
  </si>
  <si>
    <t>E104</t>
  </si>
  <si>
    <t>Sneha Patel</t>
  </si>
  <si>
    <t>West</t>
  </si>
  <si>
    <t>P004</t>
  </si>
  <si>
    <t>E105</t>
  </si>
  <si>
    <t>Rohan Gupta</t>
  </si>
  <si>
    <t>P005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</si>
  <si>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</si>
  <si>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</si>
  <si>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</si>
  <si>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</si>
  <si>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</si>
  <si>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</si>
  <si>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</si>
  <si>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</si>
  <si>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</si>
  <si>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</si>
  <si>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Product Name</t>
  </si>
  <si>
    <t>Category</t>
  </si>
  <si>
    <t>Price per Unit</t>
  </si>
  <si>
    <t>Laptop</t>
  </si>
  <si>
    <t>Electronics</t>
  </si>
  <si>
    <t>Smartphone</t>
  </si>
  <si>
    <t>Headphones</t>
  </si>
  <si>
    <t>Accessories</t>
  </si>
  <si>
    <t>Printer</t>
  </si>
  <si>
    <t>Office Supplies</t>
  </si>
  <si>
    <t>Monitor</t>
  </si>
  <si>
    <t>Target Sales</t>
  </si>
  <si>
    <t>#N/A</t>
  </si>
  <si>
    <t>Total Sales</t>
  </si>
  <si>
    <t>Total Revenue=</t>
  </si>
  <si>
    <t>Compare</t>
  </si>
  <si>
    <t>Data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</si>
</sst>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2"/>
  <sheetViews>
    <sheetView topLeftCell="D1" workbookViewId="0">
      <selection activeCell="I16" sqref="I16"/>
    </sheetView>
  </sheetViews>
  <sheetFormatPr defaultColWidth="12.6640625" defaultRowHeight="15.75" customHeight="1" x14ac:dyDescent="0.25"/>
  <cols>
    <col min="7" max="7" width="14.66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48</v>
      </c>
      <c r="I1" s="1" t="s">
        <v>50</v>
      </c>
      <c r="J1" s="1" t="s">
        <v>4</v>
      </c>
      <c r="K1" s="1" t="s">
        <v>48</v>
      </c>
      <c r="L1" s="1" t="s">
        <v>51</v>
      </c>
    </row>
    <row r="2" spans="1:12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15</v>
      </c>
      <c r="F2" s="2">
        <v>45000</v>
      </c>
      <c r="H2">
        <f>J2*F2</f>
        <v>1000000</v>
      </c>
      <c r="I2">
        <f>HLOOKUP(C2,'Monthly Target'!A1:E2,2,FALSE)</f>
        <v>150000</v>
      </c>
      <c r="J2" s="2">
        <v>22.222222222222221</v>
      </c>
      <c r="K2">
        <f>J2*F2</f>
        <v>1000000</v>
      </c>
      <c r="L2" t="s">
        <v>20</v>
      </c>
    </row>
    <row r="3" spans="1:12" x14ac:dyDescent="0.25">
      <c r="A3" s="2" t="s">
        <v>10</v>
      </c>
      <c r="B3" s="2" t="s">
        <v>11</v>
      </c>
      <c r="C3" s="2" t="s">
        <v>12</v>
      </c>
      <c r="D3" s="2" t="s">
        <v>13</v>
      </c>
      <c r="E3" s="2">
        <v>20</v>
      </c>
      <c r="F3" s="2">
        <v>60000</v>
      </c>
      <c r="H3">
        <f>J3*F3</f>
        <v>1333333.3333333333</v>
      </c>
      <c r="I3">
        <f>HLOOKUP(C3,'Monthly Target'!A1:E2,2,FALSE)</f>
        <v>140000</v>
      </c>
      <c r="J3" s="2">
        <v>22.222222222222221</v>
      </c>
      <c r="K3">
        <f t="shared" ref="K3:K11" si="0">J3*F3</f>
        <v>1333333.3333333333</v>
      </c>
    </row>
    <row r="4" spans="1:12" x14ac:dyDescent="0.25">
      <c r="A4" s="2" t="s">
        <v>14</v>
      </c>
      <c r="B4" s="2" t="s">
        <v>15</v>
      </c>
      <c r="C4" s="2" t="s">
        <v>16</v>
      </c>
      <c r="D4" s="2" t="s">
        <v>17</v>
      </c>
      <c r="E4" s="2">
        <v>10</v>
      </c>
      <c r="F4" s="2">
        <v>35000</v>
      </c>
      <c r="H4">
        <f>J4*F4</f>
        <v>777777.77777777775</v>
      </c>
      <c r="I4">
        <f>HLOOKUP(C4,'Monthly Target'!A1:E2,2,FALSE)</f>
        <v>120000</v>
      </c>
      <c r="J4" s="2">
        <v>22.222222222222221</v>
      </c>
      <c r="K4">
        <f t="shared" si="0"/>
        <v>777777.77777777775</v>
      </c>
    </row>
    <row r="5" spans="1:12" x14ac:dyDescent="0.25">
      <c r="A5" s="2" t="s">
        <v>18</v>
      </c>
      <c r="B5" s="2" t="s">
        <v>19</v>
      </c>
      <c r="C5" s="2" t="s">
        <v>20</v>
      </c>
      <c r="D5" s="2" t="s">
        <v>21</v>
      </c>
      <c r="E5" s="2">
        <v>25</v>
      </c>
      <c r="F5" s="2">
        <v>125000</v>
      </c>
      <c r="H5">
        <f>J5*F5</f>
        <v>2777777.7777777775</v>
      </c>
      <c r="I5">
        <f>HLOOKUP(C5,'Monthly Target'!A1:E2,2,FALSE)</f>
        <v>160000</v>
      </c>
      <c r="J5" s="2">
        <v>22.222222222222221</v>
      </c>
      <c r="K5">
        <f t="shared" si="0"/>
        <v>2777777.7777777775</v>
      </c>
    </row>
    <row r="6" spans="1:12" x14ac:dyDescent="0.25">
      <c r="A6" s="2" t="s">
        <v>22</v>
      </c>
      <c r="B6" s="2" t="s">
        <v>23</v>
      </c>
      <c r="C6" s="2" t="s">
        <v>8</v>
      </c>
      <c r="D6" s="2" t="s">
        <v>24</v>
      </c>
      <c r="E6" s="2">
        <v>12</v>
      </c>
      <c r="F6" s="2">
        <v>48000</v>
      </c>
      <c r="H6">
        <f>J6*F6</f>
        <v>1066666.6666666667</v>
      </c>
      <c r="I6">
        <f>HLOOKUP(C2,'Monthly Target'!A1:E2,2,FALSE)</f>
        <v>150000</v>
      </c>
      <c r="J6" s="2">
        <v>22.222222222222221</v>
      </c>
      <c r="K6">
        <f t="shared" si="0"/>
        <v>1066666.6666666667</v>
      </c>
    </row>
    <row r="7" spans="1:12" x14ac:dyDescent="0.25">
      <c r="A7" s="2" t="s">
        <v>25</v>
      </c>
      <c r="B7" s="2" t="s">
        <v>26</v>
      </c>
      <c r="C7" s="2" t="s">
        <v>16</v>
      </c>
      <c r="D7" s="2" t="s">
        <v>13</v>
      </c>
      <c r="E7" s="2">
        <v>18</v>
      </c>
      <c r="F7" s="2">
        <v>54000</v>
      </c>
      <c r="H7">
        <f>J7*F7</f>
        <v>1200000</v>
      </c>
      <c r="I7">
        <f>HLOOKUP(C7,'Monthly Target'!A1:E2,2,FALSE)</f>
        <v>120000</v>
      </c>
      <c r="J7" s="2">
        <v>22.222222222222221</v>
      </c>
      <c r="K7">
        <f t="shared" si="0"/>
        <v>1200000</v>
      </c>
    </row>
    <row r="8" spans="1:12" x14ac:dyDescent="0.25">
      <c r="A8" s="2" t="s">
        <v>27</v>
      </c>
      <c r="B8" s="2" t="s">
        <v>28</v>
      </c>
      <c r="C8" s="2" t="s">
        <v>12</v>
      </c>
      <c r="D8" s="2" t="s">
        <v>17</v>
      </c>
      <c r="E8" s="2">
        <v>22</v>
      </c>
      <c r="F8" s="2">
        <v>77000</v>
      </c>
      <c r="H8">
        <f>J8*F8</f>
        <v>1711111.111111111</v>
      </c>
      <c r="I8">
        <f>HLOOKUP(C8,'Monthly Target'!A1:E2,2,FALSE)</f>
        <v>140000</v>
      </c>
      <c r="J8" s="2">
        <v>22.222222222222221</v>
      </c>
      <c r="K8">
        <f t="shared" si="0"/>
        <v>1711111.111111111</v>
      </c>
    </row>
    <row r="9" spans="1:12" x14ac:dyDescent="0.25">
      <c r="A9" s="2" t="s">
        <v>29</v>
      </c>
      <c r="B9" s="2" t="s">
        <v>30</v>
      </c>
      <c r="C9" s="2" t="s">
        <v>20</v>
      </c>
      <c r="D9" s="2" t="s">
        <v>9</v>
      </c>
      <c r="E9" s="2">
        <v>30</v>
      </c>
      <c r="F9" s="2">
        <v>90000</v>
      </c>
      <c r="H9">
        <f>J9*F9</f>
        <v>2000000</v>
      </c>
      <c r="I9">
        <f>HLOOKUP(C9,'Monthly Target'!A1:E2,2,FALSE)</f>
        <v>160000</v>
      </c>
      <c r="J9" s="2">
        <v>22.222222222222221</v>
      </c>
      <c r="K9">
        <f t="shared" si="0"/>
        <v>2000000</v>
      </c>
    </row>
    <row r="10" spans="1:12" x14ac:dyDescent="0.25">
      <c r="A10" s="2" t="s">
        <v>31</v>
      </c>
      <c r="B10" s="2" t="s">
        <v>32</v>
      </c>
      <c r="C10" s="2" t="s">
        <v>8</v>
      </c>
      <c r="D10" s="2" t="s">
        <v>21</v>
      </c>
      <c r="E10" s="2">
        <v>14</v>
      </c>
      <c r="F10" s="2">
        <v>70000</v>
      </c>
      <c r="H10">
        <f>J10*F10</f>
        <v>1555555.5555555555</v>
      </c>
      <c r="I10">
        <f>HLOOKUP(C10,'Monthly Target'!A1:E2,2,FALSE)</f>
        <v>150000</v>
      </c>
      <c r="J10" s="2">
        <v>22.222222222222221</v>
      </c>
      <c r="K10">
        <f t="shared" si="0"/>
        <v>1555555.5555555555</v>
      </c>
    </row>
    <row r="11" spans="1:12" x14ac:dyDescent="0.25">
      <c r="A11" s="2" t="s">
        <v>33</v>
      </c>
      <c r="B11" s="2" t="s">
        <v>34</v>
      </c>
      <c r="C11" s="2" t="s">
        <v>16</v>
      </c>
      <c r="D11" s="2" t="s">
        <v>24</v>
      </c>
      <c r="E11" s="2">
        <v>8</v>
      </c>
      <c r="F11" s="2">
        <v>32000</v>
      </c>
      <c r="H11">
        <f>J11*F11</f>
        <v>711111.11111111112</v>
      </c>
      <c r="I11">
        <f>HLOOKUP(C11,'Monthly Target'!A1:E2,2,FALSE)</f>
        <v>120000</v>
      </c>
      <c r="J11" s="2">
        <v>22.222222222222221</v>
      </c>
      <c r="K11">
        <f t="shared" si="0"/>
        <v>711111.11111111112</v>
      </c>
    </row>
    <row r="12" spans="1:12" ht="15.75" customHeight="1" x14ac:dyDescent="0.25">
      <c r="G12" s="1" t="s">
        <v>49</v>
      </c>
      <c r="H12">
        <f>SUM(H2:H11)</f>
        <v>14133333.333333334</v>
      </c>
      <c r="K12">
        <f>SUM(K2:K11)</f>
        <v>14133333.333333334</v>
      </c>
    </row>
  </sheetData>
  <dataValidations count="1">
    <dataValidation type="list" allowBlank="1" showInputMessage="1" showErrorMessage="1" sqref="L2" xr:uid="{2F4FA277-29C2-49B6-8608-FAAC52914B56}">
      <formula1>$C$2:$C$11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5882C33-F851-4455-B140-FFBE38E4CC46}">
            <xm:f>$F$2:$F$11&lt;'Monthly Target'!$B$2:$E$2</xm:f>
            <x14:dxf>
              <fill>
                <patternFill>
                  <bgColor rgb="FFFF0000"/>
                </patternFill>
              </fill>
            </x14:dxf>
          </x14:cfRule>
          <xm:sqref>H2:H11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8"/>
  <sheetViews>
    <sheetView workbookViewId="0">
      <selection activeCell="D1" sqref="D1"/>
    </sheetView>
  </sheetViews>
  <sheetFormatPr defaultColWidth="12.6640625" defaultRowHeight="15.75" customHeight="1" x14ac:dyDescent="0.25"/>
  <sheetData>
    <row r="1" spans="1:6" x14ac:dyDescent="0.25">
      <c r="A1" s="1" t="s">
        <v>3</v>
      </c>
      <c r="B1" s="1" t="s">
        <v>35</v>
      </c>
      <c r="C1" s="1" t="s">
        <v>36</v>
      </c>
      <c r="D1" s="1" t="s">
        <v>37</v>
      </c>
      <c r="F1" s="1"/>
    </row>
    <row r="2" spans="1:6" x14ac:dyDescent="0.25">
      <c r="A2" s="2" t="s">
        <v>9</v>
      </c>
      <c r="B2" s="2" t="s">
        <v>38</v>
      </c>
      <c r="C2" s="2" t="s">
        <v>39</v>
      </c>
      <c r="D2" s="2">
        <v>3000</v>
      </c>
    </row>
    <row r="3" spans="1:6" x14ac:dyDescent="0.25">
      <c r="A3" s="2" t="s">
        <v>13</v>
      </c>
      <c r="B3" s="2" t="s">
        <v>40</v>
      </c>
      <c r="C3" s="2" t="s">
        <v>39</v>
      </c>
      <c r="D3" s="2">
        <v>3000</v>
      </c>
    </row>
    <row r="4" spans="1:6" x14ac:dyDescent="0.25">
      <c r="A4" s="2" t="s">
        <v>17</v>
      </c>
      <c r="B4" s="2" t="s">
        <v>41</v>
      </c>
      <c r="C4" s="2" t="s">
        <v>42</v>
      </c>
      <c r="D4" s="2">
        <v>3500</v>
      </c>
    </row>
    <row r="5" spans="1:6" x14ac:dyDescent="0.25">
      <c r="A5" s="2" t="s">
        <v>21</v>
      </c>
      <c r="B5" s="2" t="s">
        <v>43</v>
      </c>
      <c r="C5" s="2" t="s">
        <v>44</v>
      </c>
      <c r="D5" s="2">
        <v>5000</v>
      </c>
    </row>
    <row r="6" spans="1:6" x14ac:dyDescent="0.25">
      <c r="A6" s="2" t="s">
        <v>24</v>
      </c>
      <c r="B6" s="2" t="s">
        <v>45</v>
      </c>
      <c r="C6" s="2" t="s">
        <v>39</v>
      </c>
      <c r="D6" s="2">
        <v>4000</v>
      </c>
    </row>
    <row r="8" spans="1:6" x14ac:dyDescent="0.25">
      <c r="C8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0F8D-EEC6-4257-8B56-75209AEEE4B5}">
  <dimension ref="A1:B6"/>
  <sheetViews>
    <sheetView workbookViewId="0">
      <selection activeCell="C1" sqref="C1"/>
    </sheetView>
  </sheetViews>
  <sheetFormatPr defaultRowHeight="13.2" x14ac:dyDescent="0.25"/>
  <cols>
    <col min="1" max="1" width="13.5546875" bestFit="1" customWidth="1"/>
    <col min="2" max="2" width="13.109375" bestFit="1" customWidth="1"/>
  </cols>
  <sheetData>
    <row r="1" spans="1:2" x14ac:dyDescent="0.25">
      <c r="A1" s="1" t="s">
        <v>35</v>
      </c>
      <c r="B1" s="1" t="s">
        <v>37</v>
      </c>
    </row>
    <row r="2" spans="1:2" x14ac:dyDescent="0.25">
      <c r="A2" t="str">
        <f>VLOOKUP(Product_Master!A2,Product_Master!A1:D6,2,FALSE)</f>
        <v>Laptop</v>
      </c>
      <c r="B2">
        <f>VLOOKUP(Product_Master!A2,Product_Master!A1:D6,4,FALSE)</f>
        <v>3000</v>
      </c>
    </row>
    <row r="3" spans="1:2" x14ac:dyDescent="0.25">
      <c r="A3" t="str">
        <f>VLOOKUP(Product_Master!A3,Product_Master!A2:D7,2,FALSE)</f>
        <v>Smartphone</v>
      </c>
      <c r="B3">
        <f>VLOOKUP(Product_Master!A3,Product_Master!A2:D7,4,FALSE)</f>
        <v>3000</v>
      </c>
    </row>
    <row r="4" spans="1:2" x14ac:dyDescent="0.25">
      <c r="A4" t="str">
        <f>VLOOKUP(Product_Master!A4,Product_Master!A3:D8,2,FALSE)</f>
        <v>Headphones</v>
      </c>
      <c r="B4">
        <f>VLOOKUP(Product_Master!A4,Product_Master!A3:D8,4,FALSE)</f>
        <v>3500</v>
      </c>
    </row>
    <row r="5" spans="1:2" x14ac:dyDescent="0.25">
      <c r="A5" t="str">
        <f>VLOOKUP(Product_Master!A5,Product_Master!A4:D9,2,FALSE)</f>
        <v>Printer</v>
      </c>
      <c r="B5">
        <f>VLOOKUP(Product_Master!A5,Product_Master!A4:D9,4,FALSE)</f>
        <v>5000</v>
      </c>
    </row>
    <row r="6" spans="1:2" x14ac:dyDescent="0.25">
      <c r="A6" t="str">
        <f>VLOOKUP(Product_Master!A6,Product_Master!A5:D10,2,FALSE)</f>
        <v>Monitor</v>
      </c>
      <c r="B6">
        <f>VLOOKUP(Product_Master!A6,Product_Master!A5:D10,4,FALSE)</f>
        <v>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"/>
  <sheetViews>
    <sheetView tabSelected="1" workbookViewId="0">
      <selection activeCell="B4" sqref="B4"/>
    </sheetView>
  </sheetViews>
  <sheetFormatPr defaultColWidth="12.6640625" defaultRowHeight="15.75" customHeight="1" x14ac:dyDescent="0.25"/>
  <sheetData>
    <row r="1" spans="1:5" x14ac:dyDescent="0.25">
      <c r="A1" s="1" t="s">
        <v>2</v>
      </c>
      <c r="B1" s="1" t="s">
        <v>8</v>
      </c>
      <c r="C1" s="1" t="s">
        <v>12</v>
      </c>
      <c r="D1" s="1" t="s">
        <v>16</v>
      </c>
      <c r="E1" s="1" t="s">
        <v>20</v>
      </c>
    </row>
    <row r="2" spans="1:5" x14ac:dyDescent="0.25">
      <c r="A2" s="2" t="s">
        <v>46</v>
      </c>
      <c r="B2" s="2">
        <v>150000</v>
      </c>
      <c r="C2" s="2">
        <v>140000</v>
      </c>
      <c r="D2" s="2">
        <v>120000</v>
      </c>
      <c r="E2" s="2">
        <v>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Product_Master</vt:lpstr>
      <vt:lpstr>Product</vt:lpstr>
      <vt:lpstr>Monthly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Bhelkar</dc:creator>
  <cp:lastModifiedBy>Vaishnavi Bhelkar</cp:lastModifiedBy>
  <dcterms:created xsi:type="dcterms:W3CDTF">2025-11-02T05:13:25Z</dcterms:created>
  <dcterms:modified xsi:type="dcterms:W3CDTF">2025-11-02T05:13:25Z</dcterms:modified>
</cp:coreProperties>
</file>